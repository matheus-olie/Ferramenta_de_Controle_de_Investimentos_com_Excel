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BE2CC766-1786-4875-AB86-EDC0FFF709F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vestimentos" sheetId="1" r:id="rId1"/>
    <sheet name="Percentual&amp;Perfil" sheetId="2" r:id="rId2"/>
  </sheets>
  <definedNames>
    <definedName name="aporte">Investimentos!$D$15:$D$15</definedName>
    <definedName name="patrimonio">Investimentos!$D$18:$D$18</definedName>
    <definedName name="perfil">Investimentos!$C$32:$D$32</definedName>
    <definedName name="qtd_meses">Investimentos!$D$16:$D$16</definedName>
    <definedName name="rendimento_carteira">Investimentos!$D$11:$D$11</definedName>
    <definedName name="salario">Investimentos!$D$10:$D$10</definedName>
    <definedName name="sugestao_investimento">Investimentos!$D$12:$D$12</definedName>
    <definedName name="taxa_mensal">Investimentos!$D$17:$D$17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36" i="1"/>
  <c r="B9" i="2"/>
  <c r="B10" i="2"/>
  <c r="B11" i="2"/>
  <c r="B12" i="2"/>
  <c r="B13" i="2"/>
  <c r="B14" i="2"/>
  <c r="B15" i="2"/>
  <c r="B16" i="2"/>
  <c r="B17" i="2"/>
  <c r="B18" i="2"/>
  <c r="B19" i="2"/>
  <c r="B20" i="2"/>
  <c r="B4" i="2"/>
  <c r="B5" i="2"/>
  <c r="B6" i="2"/>
  <c r="B7" i="2"/>
  <c r="B8" i="2"/>
  <c r="B3" i="2"/>
  <c r="D37" i="1" a="1"/>
  <c r="D37" i="1"/>
  <c r="D38" i="1" a="1"/>
  <c r="D38" i="1"/>
  <c r="D39" i="1" a="1"/>
  <c r="D39" i="1"/>
  <c r="D40" i="1" a="1"/>
  <c r="D40" i="1"/>
  <c r="D41" i="1" a="1"/>
  <c r="D41" i="1"/>
  <c r="D36" i="1" a="1"/>
  <c r="D36" i="1"/>
  <c r="D42" i="1" s="1"/>
  <c r="C33" i="1" a="1"/>
  <c r="C33" i="1"/>
  <c r="C24" i="1" a="1"/>
  <c r="C24" i="1"/>
  <c r="C25" i="1" a="1"/>
  <c r="C25" i="1"/>
  <c r="C26" i="1" a="1"/>
  <c r="C26" i="1"/>
  <c r="C27" i="1" a="1"/>
  <c r="C27" i="1"/>
  <c r="C23" i="1" a="1"/>
  <c r="C23" i="1"/>
  <c r="D18" i="1" a="1"/>
  <c r="D18" i="1"/>
  <c r="D19" i="1" s="1" a="1"/>
  <c r="D19" i="1" s="1"/>
  <c r="D12" i="1"/>
  <c r="D27" i="1" a="1"/>
  <c r="D27" i="1" s="1"/>
  <c r="D25" i="1" a="1"/>
  <c r="D25" i="1" s="1"/>
  <c r="D26" i="1" a="1"/>
  <c r="D26" i="1" s="1"/>
  <c r="D24" i="1" a="1"/>
  <c r="D24" i="1" s="1"/>
  <c r="D23" i="1" a="1"/>
  <c r="D2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<sst xmlns="http://schemas.openxmlformats.org/spreadsheetml/2006/main" count="72" uniqueCount="36">
  <si>
    <t>CONFIGURAÇÕES</t>
  </si>
  <si>
    <t>Salário</t>
  </si>
  <si>
    <t>Rendimento Carteira</t>
  </si>
  <si>
    <t>Sugestão de Investimento (30%)</t>
  </si>
  <si>
    <t>INVESTIMENTO MENSAL</t>
  </si>
  <si>
    <t>Quanto investir por mês?</t>
  </si>
  <si>
    <t>Por quantos meses?</t>
  </si>
  <si>
    <t>Taxa de rendimento mensal?</t>
  </si>
  <si>
    <t>Patrimônio Acumulado?</t>
  </si>
  <si>
    <t>Dividendos mensais?</t>
  </si>
  <si>
    <t>CENÁRIOS</t>
  </si>
  <si>
    <t>DIVIDENDOS</t>
  </si>
  <si>
    <t>Quanto em 3 anos?</t>
  </si>
  <si>
    <t>quanto em 6 anos?*</t>
  </si>
  <si>
    <t>Quanto em 9 anos?**</t>
  </si>
  <si>
    <t>Quanto em 11 anos?***</t>
  </si>
  <si>
    <t>Quanto em 20 anos?</t>
  </si>
  <si>
    <t>*Passa a receber o  mesmo valor que investe</t>
  </si>
  <si>
    <t>*Passa a receber o dobro do que investe</t>
  </si>
  <si>
    <t>*Passa a receber o triplo do que investe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</si>
  <si>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</si>
  <si>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</si>
  <si>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</si>
  <si>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</si>
  <si>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</si>
  <si>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</si>
  <si>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</si>
  <si>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</si>
  <si>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</si>
  <si>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</si>
  <si>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</si>
  <si>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</si>
  <si>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</si>
  <si>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PERCENTUAL</t>
  </si>
  <si>
    <t>CONSERVADOR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</si>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</sst>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6" formatCode="&quot;R$&quot;\ #,##0.00"/>
  </numFmts>
  <fonts count="10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thin">
        <color rgb="FFCCCCFF"/>
      </right>
      <top/>
      <bottom style="thin">
        <color rgb="FFCCCCFF"/>
      </bottom>
      <diagonal/>
    </border>
    <border>
      <left style="thin">
        <color rgb="FFCCCCFF"/>
      </left>
      <right style="medium">
        <color rgb="FF002060"/>
      </right>
      <top/>
      <bottom style="thin">
        <color rgb="FFCCCCFF"/>
      </bottom>
      <diagonal/>
    </border>
    <border>
      <left style="medium">
        <color rgb="FF002060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>
        <color rgb="FFCCCCFF"/>
      </left>
      <right style="medium">
        <color rgb="FF002060"/>
      </right>
      <top style="thin">
        <color rgb="FFCCCCFF"/>
      </top>
      <bottom style="thin">
        <color rgb="FFCCCCFF"/>
      </bottom>
      <diagonal/>
    </border>
    <border>
      <left style="medium">
        <color rgb="FF002060"/>
      </left>
      <right style="thin">
        <color rgb="FFCCCCFF"/>
      </right>
      <top style="thin">
        <color rgb="FFCCCCFF"/>
      </top>
      <bottom style="medium">
        <color rgb="FF002060"/>
      </bottom>
      <diagonal/>
    </border>
    <border>
      <left style="thin">
        <color rgb="FFCCCCFF"/>
      </left>
      <right style="medium">
        <color rgb="FF002060"/>
      </right>
      <top style="thin">
        <color rgb="FFCCCCFF"/>
      </top>
      <bottom style="medium">
        <color rgb="FF002060"/>
      </bottom>
      <diagonal/>
    </border>
    <border>
      <left/>
      <right/>
      <top style="medium">
        <color rgb="FF002060"/>
      </top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medium">
        <color rgb="FF002060"/>
      </right>
      <top/>
      <bottom style="thin">
        <color rgb="FFCCCCFF"/>
      </bottom>
      <diagonal/>
    </border>
    <border>
      <left style="medium">
        <color rgb="FF002060"/>
      </left>
      <right style="medium">
        <color rgb="FF002060"/>
      </right>
      <top/>
      <bottom style="medium">
        <color rgb="FF002060"/>
      </bottom>
      <diagonal/>
    </border>
    <border>
      <left style="thin">
        <color rgb="FFCCCCFF"/>
      </left>
      <right/>
      <top/>
      <bottom style="thin">
        <color rgb="FFCCCCFF"/>
      </bottom>
      <diagonal/>
    </border>
    <border>
      <left style="thin">
        <color rgb="FFCCCCFF"/>
      </left>
      <right style="thin">
        <color rgb="FFCCCCFF"/>
      </right>
      <top/>
      <bottom style="thin">
        <color rgb="FFCCCCFF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medium">
        <color rgb="FF002060"/>
      </bottom>
      <diagonal/>
    </border>
    <border>
      <left/>
      <right/>
      <top/>
      <bottom style="medium">
        <color rgb="FF002060"/>
      </bottom>
      <diagonal/>
    </border>
  </borders>
  <cellStyleXfs count="1">
    <xf numFmtId="0" fontId="0" fillId="0" borderId="0"/>
  </cellStyleXfs>
  <cellXfs count="52">
    <xf numFmtId="0" fontId="0" fillId="0" borderId="0" xfId="0"/>
    <xf numFmtId="9" fontId="0" fillId="0" borderId="0" xfId="0" applyNumberFormat="1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8" fillId="0" borderId="0" xfId="0" applyFont="1"/>
    <xf numFmtId="0" fontId="8" fillId="0" borderId="9" xfId="0" applyFont="1" applyBorder="1" applyAlignment="1">
      <alignment horizontal="left" wrapText="1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vertical="center"/>
    </xf>
    <xf numFmtId="0" fontId="7" fillId="4" borderId="9" xfId="0" applyFont="1" applyFill="1" applyBorder="1" applyAlignment="1">
      <alignment horizontal="center" vertical="center"/>
    </xf>
    <xf numFmtId="166" fontId="0" fillId="0" borderId="4" xfId="0" applyNumberFormat="1" applyBorder="1" applyAlignment="1">
      <alignment horizontal="right" vertical="center"/>
    </xf>
    <xf numFmtId="10" fontId="0" fillId="0" borderId="6" xfId="0" applyNumberFormat="1" applyBorder="1" applyAlignment="1">
      <alignment horizontal="right" vertical="center"/>
    </xf>
    <xf numFmtId="1" fontId="0" fillId="0" borderId="6" xfId="0" applyNumberForma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indent="1"/>
    </xf>
    <xf numFmtId="0" fontId="4" fillId="0" borderId="3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vertical="center" indent="1"/>
    </xf>
    <xf numFmtId="0" fontId="4" fillId="0" borderId="5" xfId="0" applyFont="1" applyBorder="1" applyAlignment="1">
      <alignment horizontal="left" vertical="center" indent="1"/>
    </xf>
    <xf numFmtId="0" fontId="4" fillId="0" borderId="15" xfId="0" applyFont="1" applyBorder="1" applyAlignment="1">
      <alignment horizontal="left" vertical="center" indent="1"/>
    </xf>
    <xf numFmtId="0" fontId="5" fillId="3" borderId="5" xfId="0" applyFont="1" applyFill="1" applyBorder="1" applyAlignment="1">
      <alignment horizontal="left" vertical="center" indent="1"/>
    </xf>
    <xf numFmtId="0" fontId="5" fillId="3" borderId="15" xfId="0" applyFont="1" applyFill="1" applyBorder="1" applyAlignment="1">
      <alignment horizontal="left" vertical="center" indent="1"/>
    </xf>
    <xf numFmtId="0" fontId="5" fillId="3" borderId="7" xfId="0" applyFont="1" applyFill="1" applyBorder="1" applyAlignment="1">
      <alignment horizontal="left" vertical="center" indent="1"/>
    </xf>
    <xf numFmtId="0" fontId="5" fillId="3" borderId="16" xfId="0" applyFont="1" applyFill="1" applyBorder="1" applyAlignment="1">
      <alignment horizontal="left" vertical="center" indent="1"/>
    </xf>
    <xf numFmtId="8" fontId="0" fillId="3" borderId="6" xfId="0" applyNumberFormat="1" applyFill="1" applyBorder="1" applyAlignment="1">
      <alignment horizontal="right" vertical="center"/>
    </xf>
    <xf numFmtId="8" fontId="0" fillId="3" borderId="8" xfId="0" applyNumberFormat="1" applyFill="1" applyBorder="1" applyAlignment="1">
      <alignment horizontal="right" vertical="center"/>
    </xf>
    <xf numFmtId="0" fontId="4" fillId="0" borderId="5" xfId="0" applyFont="1" applyBorder="1" applyAlignment="1">
      <alignment horizontal="left" vertical="center" wrapText="1" indent="1"/>
    </xf>
    <xf numFmtId="0" fontId="4" fillId="0" borderId="15" xfId="0" applyFont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indent="1"/>
    </xf>
    <xf numFmtId="8" fontId="0" fillId="3" borderId="13" xfId="0" applyNumberFormat="1" applyFill="1" applyBorder="1" applyAlignment="1">
      <alignment horizontal="right" vertical="center" indent="1"/>
    </xf>
    <xf numFmtId="8" fontId="0" fillId="3" borderId="11" xfId="0" applyNumberFormat="1" applyFill="1" applyBorder="1" applyAlignment="1">
      <alignment horizontal="right" vertical="center"/>
    </xf>
    <xf numFmtId="0" fontId="5" fillId="3" borderId="5" xfId="0" applyFont="1" applyFill="1" applyBorder="1" applyAlignment="1">
      <alignment horizontal="left" vertical="center" indent="1"/>
    </xf>
    <xf numFmtId="0" fontId="4" fillId="3" borderId="7" xfId="0" applyFont="1" applyFill="1" applyBorder="1" applyAlignment="1">
      <alignment horizontal="left" vertical="center" indent="1"/>
    </xf>
    <xf numFmtId="8" fontId="0" fillId="3" borderId="12" xfId="0" applyNumberFormat="1" applyFill="1" applyBorder="1" applyAlignment="1">
      <alignment horizontal="right" vertical="center"/>
    </xf>
    <xf numFmtId="0" fontId="4" fillId="3" borderId="7" xfId="0" applyFont="1" applyFill="1" applyBorder="1" applyAlignment="1">
      <alignment horizontal="left" vertical="center" wrapText="1" indent="1"/>
    </xf>
    <xf numFmtId="0" fontId="4" fillId="3" borderId="16" xfId="0" applyFont="1" applyFill="1" applyBorder="1" applyAlignment="1">
      <alignment horizontal="left" vertical="center" wrapText="1" indent="1"/>
    </xf>
    <xf numFmtId="166" fontId="0" fillId="3" borderId="8" xfId="0" applyNumberFormat="1" applyFill="1" applyBorder="1" applyAlignment="1">
      <alignment horizontal="right" vertical="center"/>
    </xf>
    <xf numFmtId="0" fontId="9" fillId="4" borderId="0" xfId="0" applyFont="1" applyFill="1" applyAlignment="1">
      <alignment horizontal="left" vertical="center" indent="1"/>
    </xf>
    <xf numFmtId="10" fontId="0" fillId="0" borderId="0" xfId="0" applyNumberFormat="1"/>
    <xf numFmtId="0" fontId="0" fillId="5" borderId="0" xfId="0" applyFill="1"/>
    <xf numFmtId="0" fontId="2" fillId="5" borderId="0" xfId="0" applyFont="1" applyFill="1"/>
    <xf numFmtId="0" fontId="2" fillId="5" borderId="0" xfId="0" applyFont="1" applyFill="1" applyAlignment="1">
      <alignment horizontal="center" vertical="center"/>
    </xf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0" fontId="5" fillId="0" borderId="0" xfId="0" applyFont="1"/>
    <xf numFmtId="0" fontId="9" fillId="4" borderId="0" xfId="0" applyFont="1" applyFill="1" applyAlignment="1">
      <alignment horizontal="center" vertical="center"/>
    </xf>
    <xf numFmtId="166" fontId="5" fillId="0" borderId="0" xfId="0" applyNumberFormat="1" applyFont="1" applyAlignment="1">
      <alignment horizontal="center"/>
    </xf>
    <xf numFmtId="0" fontId="0" fillId="0" borderId="17" xfId="0" applyBorder="1"/>
    <xf numFmtId="0" fontId="2" fillId="2" borderId="0" xfId="0" applyFont="1" applyFill="1"/>
    <xf numFmtId="10" fontId="0" fillId="0" borderId="17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0</xdr:row>
      <xdr:rowOff>19050</xdr:rowOff>
    </xdr:from>
    <xdr:to>
      <xdr:col>4</xdr:col>
      <xdr:colOff>47625</xdr:colOff>
      <xdr:row>6</xdr:row>
      <xdr:rowOff>19050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5E4A64F-8D47-3A76-EC60-B07667BDE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9050"/>
          <a:ext cx="5667375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showGridLines="0" tabSelected="1" workbookViewId="0">
      <selection activeCell="G6" sqref="G6"/>
    </sheetView>
  </sheetViews>
  <sheetFormatPr defaultColWidth="0" defaultRowHeight="15"/>
  <cols>
    <col min="1" max="1" width="7.7109375" customWidth="1"/>
    <col min="2" max="2" width="43.5703125" customWidth="1"/>
    <col min="3" max="3" width="27.140625" customWidth="1"/>
    <col min="4" max="4" width="13" customWidth="1"/>
    <col min="5" max="5" width="5" customWidth="1"/>
    <col min="6" max="6" width="3.7109375" customWidth="1"/>
    <col min="7" max="7" width="4.28515625" customWidth="1"/>
    <col min="8" max="8" width="4.5703125" customWidth="1"/>
    <col min="9" max="11" width="9.140625" hidden="1" customWidth="1"/>
  </cols>
  <sheetData>
    <row r="1" spans="1:4">
      <c r="A1" s="1"/>
    </row>
    <row r="9" spans="1:4" ht="18.75">
      <c r="B9" s="5" t="s">
        <v>0</v>
      </c>
      <c r="C9" s="12"/>
      <c r="D9" s="6"/>
    </row>
    <row r="10" spans="1:4" ht="15.75">
      <c r="B10" s="17" t="s">
        <v>1</v>
      </c>
      <c r="C10" s="18"/>
      <c r="D10" s="13">
        <v>5000</v>
      </c>
    </row>
    <row r="11" spans="1:4" ht="16.5" customHeight="1">
      <c r="B11" s="27" t="s">
        <v>2</v>
      </c>
      <c r="C11" s="28"/>
      <c r="D11" s="14">
        <v>0.01</v>
      </c>
    </row>
    <row r="12" spans="1:4" ht="16.5" customHeight="1">
      <c r="B12" s="35" t="s">
        <v>3</v>
      </c>
      <c r="C12" s="36"/>
      <c r="D12" s="37">
        <f>D10*30%</f>
        <v>1500</v>
      </c>
    </row>
    <row r="13" spans="1:4" ht="32.25" customHeight="1"/>
    <row r="14" spans="1:4" ht="30.75" customHeight="1">
      <c r="B14" s="3" t="s">
        <v>4</v>
      </c>
      <c r="C14" s="10"/>
      <c r="D14" s="4"/>
    </row>
    <row r="15" spans="1:4" ht="21.75" customHeight="1">
      <c r="B15" s="17" t="s">
        <v>5</v>
      </c>
      <c r="C15" s="18"/>
      <c r="D15" s="13">
        <v>781</v>
      </c>
    </row>
    <row r="16" spans="1:4" ht="21.75" customHeight="1">
      <c r="B16" s="19" t="s">
        <v>6</v>
      </c>
      <c r="C16" s="20"/>
      <c r="D16" s="15">
        <v>12</v>
      </c>
    </row>
    <row r="17" spans="1:4" ht="21.75" customHeight="1">
      <c r="B17" s="19" t="s">
        <v>7</v>
      </c>
      <c r="C17" s="20"/>
      <c r="D17" s="14">
        <v>1.1715E-2</v>
      </c>
    </row>
    <row r="18" spans="1:4" ht="21.75" customHeight="1">
      <c r="B18" s="21" t="s">
        <v>8</v>
      </c>
      <c r="C18" s="22"/>
      <c r="D18" s="25" cm="1">
        <f t="array" ref="D18">FV(taxa_mensal,qtd_meses,aporte*-1)</f>
        <v>10000.075548722412</v>
      </c>
    </row>
    <row r="19" spans="1:4" ht="21.75" customHeight="1">
      <c r="B19" s="23" t="s">
        <v>9</v>
      </c>
      <c r="C19" s="24"/>
      <c r="D19" s="26" cm="1">
        <f t="array" ref="D19">patrimonio*rendimento_carteira</f>
        <v>100.00075548722413</v>
      </c>
    </row>
    <row r="22" spans="1:4" ht="34.5" customHeight="1">
      <c r="B22" s="16" t="s">
        <v>10</v>
      </c>
      <c r="C22" s="11"/>
      <c r="D22" s="7" t="s">
        <v>11</v>
      </c>
    </row>
    <row r="23" spans="1:4" ht="24" customHeight="1">
      <c r="A23" s="2">
        <v>3</v>
      </c>
      <c r="B23" s="29" t="s">
        <v>12</v>
      </c>
      <c r="C23" s="30" cm="1">
        <f t="array" ref="C23">FV(taxa_mensal,A23*12,aporte*-1)</f>
        <v>34725.299739851573</v>
      </c>
      <c r="D23" s="31" cm="1">
        <f t="array" ref="D23">C23*rendimento_carteira</f>
        <v>347.25299739851573</v>
      </c>
    </row>
    <row r="24" spans="1:4" ht="24" customHeight="1">
      <c r="A24" s="2">
        <v>6</v>
      </c>
      <c r="B24" s="32" t="s">
        <v>13</v>
      </c>
      <c r="C24" s="30" cm="1">
        <f t="array" ref="C24">FV(taxa_mensal,A24*12,aporte*-1)</f>
        <v>87538.296110041192</v>
      </c>
      <c r="D24" s="31" cm="1">
        <f t="array" ref="D24">C24*rendimento_carteira</f>
        <v>875.38296110041199</v>
      </c>
    </row>
    <row r="25" spans="1:4" ht="24" customHeight="1">
      <c r="A25" s="2">
        <v>9</v>
      </c>
      <c r="B25" s="32" t="s">
        <v>14</v>
      </c>
      <c r="C25" s="30" cm="1">
        <f t="array" ref="C25">FV(taxa_mensal,A25*12,aporte*-1)</f>
        <v>167860.4994169487</v>
      </c>
      <c r="D25" s="31" cm="1">
        <f t="array" ref="D25">C25*rendimento_carteira</f>
        <v>1678.6049941694871</v>
      </c>
    </row>
    <row r="26" spans="1:4" ht="24" customHeight="1">
      <c r="A26" s="2">
        <v>11</v>
      </c>
      <c r="B26" s="32" t="s">
        <v>15</v>
      </c>
      <c r="C26" s="30" cm="1">
        <f t="array" ref="C26">FV(taxa_mensal,A26*12,aporte*-1)</f>
        <v>243496.12175807395</v>
      </c>
      <c r="D26" s="31" cm="1">
        <f t="array" ref="D26">C26*rendimento_carteira</f>
        <v>2434.9612175807397</v>
      </c>
    </row>
    <row r="27" spans="1:4" ht="24" customHeight="1">
      <c r="A27" s="2">
        <v>20</v>
      </c>
      <c r="B27" s="33" t="s">
        <v>16</v>
      </c>
      <c r="C27" s="30" cm="1">
        <f t="array" ref="C27">FV(taxa_mensal,A27*12,aporte*-1)</f>
        <v>1024457.3302410295</v>
      </c>
      <c r="D27" s="34" cm="1">
        <f t="array" ref="D27">C27*rendimento_carteira</f>
        <v>10244.573302410296</v>
      </c>
    </row>
    <row r="28" spans="1:4" ht="15.75" customHeight="1">
      <c r="B28" s="9" t="s">
        <v>17</v>
      </c>
      <c r="C28" s="9"/>
    </row>
    <row r="29" spans="1:4">
      <c r="B29" s="8" t="s">
        <v>18</v>
      </c>
      <c r="C29" s="8"/>
    </row>
    <row r="30" spans="1:4">
      <c r="B30" s="8" t="s">
        <v>19</v>
      </c>
      <c r="C30" s="8"/>
    </row>
    <row r="32" spans="1:4" ht="19.5" customHeight="1">
      <c r="B32" s="38" t="s">
        <v>20</v>
      </c>
      <c r="C32" s="47" t="s">
        <v>21</v>
      </c>
      <c r="D32" s="47"/>
    </row>
    <row r="33" spans="2:4" ht="15.75">
      <c r="B33" s="46" t="s">
        <v>22</v>
      </c>
      <c r="C33" s="48" cm="1">
        <f t="array" ref="C33">aporte</f>
        <v>781</v>
      </c>
      <c r="D33" s="48"/>
    </row>
    <row r="35" spans="2:4" ht="20.25" customHeight="1">
      <c r="B35" s="42" t="s">
        <v>23</v>
      </c>
      <c r="C35" s="42" t="s">
        <v>24</v>
      </c>
      <c r="D35" s="42" t="s">
        <v>25</v>
      </c>
    </row>
    <row r="36" spans="2:4">
      <c r="B36" t="s">
        <v>26</v>
      </c>
      <c r="C36" s="43">
        <f>VLOOKUP($C$32&amp;"-"&amp;B36,'Percentual&amp;Perfil'!$B$2:$E$20,4,FALSE)</f>
        <v>0.4</v>
      </c>
      <c r="D36" s="44" cm="1">
        <f t="array" ref="D36">aporte*C36</f>
        <v>312.40000000000003</v>
      </c>
    </row>
    <row r="37" spans="2:4">
      <c r="B37" t="s">
        <v>27</v>
      </c>
      <c r="C37" s="43">
        <f>VLOOKUP($C$32&amp;"-"&amp;B37,'Percentual&amp;Perfil'!$B$2:$E$20,4,FALSE)</f>
        <v>0.2</v>
      </c>
      <c r="D37" s="44" cm="1">
        <f t="array" ref="D37">aporte*C37</f>
        <v>156.20000000000002</v>
      </c>
    </row>
    <row r="38" spans="2:4">
      <c r="B38" t="s">
        <v>28</v>
      </c>
      <c r="C38" s="43">
        <f>VLOOKUP($C$32&amp;"-"&amp;B38,'Percentual&amp;Perfil'!$B$2:$E$20,4,FALSE)</f>
        <v>0.05</v>
      </c>
      <c r="D38" s="44" cm="1">
        <f t="array" ref="D38">aporte*C38</f>
        <v>39.050000000000004</v>
      </c>
    </row>
    <row r="39" spans="2:4">
      <c r="B39" t="s">
        <v>29</v>
      </c>
      <c r="C39" s="43">
        <f>VLOOKUP($C$32&amp;"-"&amp;B39,'Percentual&amp;Perfil'!$B$2:$E$20,4,FALSE)</f>
        <v>0.05</v>
      </c>
      <c r="D39" s="44" cm="1">
        <f t="array" ref="D39">aporte*C39</f>
        <v>39.050000000000004</v>
      </c>
    </row>
    <row r="40" spans="2:4">
      <c r="B40" t="s">
        <v>30</v>
      </c>
      <c r="C40" s="43">
        <f>VLOOKUP($C$32&amp;"-"&amp;B40,'Percentual&amp;Perfil'!$B$2:$E$20,4,FALSE)</f>
        <v>0.15</v>
      </c>
      <c r="D40" s="44" cm="1">
        <f t="array" ref="D40">aporte*C40</f>
        <v>117.14999999999999</v>
      </c>
    </row>
    <row r="41" spans="2:4">
      <c r="B41" t="s">
        <v>31</v>
      </c>
      <c r="C41" s="43">
        <f>VLOOKUP($C$32&amp;"-"&amp;B41,'Percentual&amp;Perfil'!$B$2:$E$20,4,FALSE)</f>
        <v>0.15</v>
      </c>
      <c r="D41" s="44" cm="1">
        <f t="array" ref="D41">aporte*C41</f>
        <v>117.14999999999999</v>
      </c>
    </row>
    <row r="42" spans="2:4">
      <c r="B42" s="40"/>
      <c r="C42" s="40"/>
      <c r="D42" s="45">
        <f>SUM(D36:D41)</f>
        <v>781</v>
      </c>
    </row>
  </sheetData>
  <mergeCells count="12">
    <mergeCell ref="C32:D32"/>
    <mergeCell ref="C33:D33"/>
    <mergeCell ref="B15:C15"/>
    <mergeCell ref="B16:C16"/>
    <mergeCell ref="B17:C17"/>
    <mergeCell ref="B18:C18"/>
    <mergeCell ref="B19:C19"/>
    <mergeCell ref="B14:D14"/>
    <mergeCell ref="B10:C10"/>
    <mergeCell ref="B11:C11"/>
    <mergeCell ref="B12:C12"/>
    <mergeCell ref="B9:D9"/>
  </mergeCells>
  <dataValidations count="1">
    <dataValidation type="list" allowBlank="1" showInputMessage="1" showErrorMessage="1" sqref="C32" xr:uid="{4EAA7157-F047-4DE4-B5C1-605E7FF87952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E389D-CCCA-4464-A1D7-0DB39CBB529B}">
  <dimension ref="B2:E20"/>
  <sheetViews>
    <sheetView topLeftCell="A11" workbookViewId="0">
      <selection activeCell="G16" sqref="G16"/>
    </sheetView>
  </sheetViews>
  <sheetFormatPr defaultRowHeight="15"/>
  <cols>
    <col min="2" max="2" width="32.85546875" bestFit="1" customWidth="1"/>
    <col min="3" max="3" width="14.28515625" bestFit="1" customWidth="1"/>
    <col min="4" max="4" width="18.7109375" bestFit="1" customWidth="1"/>
    <col min="5" max="5" width="12.28515625" bestFit="1" customWidth="1"/>
  </cols>
  <sheetData>
    <row r="2" spans="2:5">
      <c r="B2" s="41" t="s">
        <v>32</v>
      </c>
      <c r="C2" s="41" t="s">
        <v>20</v>
      </c>
      <c r="D2" s="42" t="s">
        <v>23</v>
      </c>
      <c r="E2" s="50" t="s">
        <v>33</v>
      </c>
    </row>
    <row r="3" spans="2:5">
      <c r="B3" t="str">
        <f>C3&amp;"-"&amp;D3</f>
        <v>CONSERVADOR-PAPEL</v>
      </c>
      <c r="C3" t="s">
        <v>34</v>
      </c>
      <c r="D3" t="s">
        <v>26</v>
      </c>
      <c r="E3" s="39">
        <v>0.3</v>
      </c>
    </row>
    <row r="4" spans="2:5">
      <c r="B4" t="str">
        <f t="shared" ref="B4:B20" si="0">C4&amp;"-"&amp;D4</f>
        <v>CONSERVADOR-TIJOLO</v>
      </c>
      <c r="C4" t="s">
        <v>34</v>
      </c>
      <c r="D4" t="s">
        <v>27</v>
      </c>
      <c r="E4" s="39">
        <v>0.5</v>
      </c>
    </row>
    <row r="5" spans="2:5">
      <c r="B5" t="str">
        <f t="shared" si="0"/>
        <v>CONSERVADOR-HÍBRIDOS</v>
      </c>
      <c r="C5" t="s">
        <v>34</v>
      </c>
      <c r="D5" t="s">
        <v>28</v>
      </c>
      <c r="E5" s="39">
        <v>0.1</v>
      </c>
    </row>
    <row r="6" spans="2:5">
      <c r="B6" t="str">
        <f t="shared" si="0"/>
        <v>CONSERVADOR-FOFs</v>
      </c>
      <c r="C6" t="s">
        <v>34</v>
      </c>
      <c r="D6" t="s">
        <v>29</v>
      </c>
      <c r="E6" s="39">
        <v>0.1</v>
      </c>
    </row>
    <row r="7" spans="2:5">
      <c r="B7" t="str">
        <f t="shared" si="0"/>
        <v>CONSERVADOR-DESENVOLVIMENTO</v>
      </c>
      <c r="C7" t="s">
        <v>34</v>
      </c>
      <c r="D7" t="s">
        <v>30</v>
      </c>
      <c r="E7" s="39">
        <v>0</v>
      </c>
    </row>
    <row r="8" spans="2:5">
      <c r="B8" s="49" t="str">
        <f t="shared" si="0"/>
        <v>CONSERVADOR-HOTELARIAS</v>
      </c>
      <c r="C8" s="49" t="s">
        <v>34</v>
      </c>
      <c r="D8" s="49" t="s">
        <v>31</v>
      </c>
      <c r="E8" s="51">
        <v>0</v>
      </c>
    </row>
    <row r="9" spans="2:5">
      <c r="B9" t="str">
        <f t="shared" si="0"/>
        <v>MODERADO-PAPEL</v>
      </c>
      <c r="C9" t="s">
        <v>35</v>
      </c>
      <c r="D9" t="s">
        <v>26</v>
      </c>
      <c r="E9" s="39">
        <v>0.3</v>
      </c>
    </row>
    <row r="10" spans="2:5">
      <c r="B10" t="str">
        <f t="shared" si="0"/>
        <v>MODERADO-TIJOLO</v>
      </c>
      <c r="C10" t="s">
        <v>35</v>
      </c>
      <c r="D10" t="s">
        <v>27</v>
      </c>
      <c r="E10" s="39">
        <v>0.4</v>
      </c>
    </row>
    <row r="11" spans="2:5">
      <c r="B11" t="str">
        <f t="shared" si="0"/>
        <v>MODERADO-HÍBRIDOS</v>
      </c>
      <c r="C11" t="s">
        <v>35</v>
      </c>
      <c r="D11" t="s">
        <v>28</v>
      </c>
      <c r="E11" s="39">
        <v>0.1</v>
      </c>
    </row>
    <row r="12" spans="2:5">
      <c r="B12" t="str">
        <f t="shared" si="0"/>
        <v>MODERADO-FOFs</v>
      </c>
      <c r="C12" t="s">
        <v>35</v>
      </c>
      <c r="D12" t="s">
        <v>29</v>
      </c>
      <c r="E12" s="39">
        <v>0.1</v>
      </c>
    </row>
    <row r="13" spans="2:5">
      <c r="B13" t="str">
        <f t="shared" si="0"/>
        <v>MODERADO-DESENVOLVIMENTO</v>
      </c>
      <c r="C13" t="s">
        <v>35</v>
      </c>
      <c r="D13" t="s">
        <v>30</v>
      </c>
      <c r="E13" s="39">
        <v>0.05</v>
      </c>
    </row>
    <row r="14" spans="2:5">
      <c r="B14" s="49" t="str">
        <f t="shared" si="0"/>
        <v>MODERADO-HOTELARIAS</v>
      </c>
      <c r="C14" s="49" t="s">
        <v>35</v>
      </c>
      <c r="D14" s="49" t="s">
        <v>31</v>
      </c>
      <c r="E14" s="51">
        <v>0.05</v>
      </c>
    </row>
    <row r="15" spans="2:5">
      <c r="B15" t="str">
        <f t="shared" si="0"/>
        <v>AGRESSIVO-PAPEL</v>
      </c>
      <c r="C15" t="s">
        <v>21</v>
      </c>
      <c r="D15" t="s">
        <v>26</v>
      </c>
      <c r="E15" s="39">
        <v>0.4</v>
      </c>
    </row>
    <row r="16" spans="2:5">
      <c r="B16" t="str">
        <f t="shared" si="0"/>
        <v>AGRESSIVO-TIJOLO</v>
      </c>
      <c r="C16" t="s">
        <v>21</v>
      </c>
      <c r="D16" t="s">
        <v>27</v>
      </c>
      <c r="E16" s="39">
        <v>0.2</v>
      </c>
    </row>
    <row r="17" spans="2:5">
      <c r="B17" t="str">
        <f t="shared" si="0"/>
        <v>AGRESSIVO-HÍBRIDOS</v>
      </c>
      <c r="C17" t="s">
        <v>21</v>
      </c>
      <c r="D17" t="s">
        <v>28</v>
      </c>
      <c r="E17" s="39">
        <v>0.05</v>
      </c>
    </row>
    <row r="18" spans="2:5">
      <c r="B18" t="str">
        <f t="shared" si="0"/>
        <v>AGRESSIVO-FOFs</v>
      </c>
      <c r="C18" t="s">
        <v>21</v>
      </c>
      <c r="D18" t="s">
        <v>29</v>
      </c>
      <c r="E18" s="39">
        <v>0.05</v>
      </c>
    </row>
    <row r="19" spans="2:5">
      <c r="B19" t="str">
        <f t="shared" si="0"/>
        <v>AGRESSIVO-DESENVOLVIMENTO</v>
      </c>
      <c r="C19" t="s">
        <v>21</v>
      </c>
      <c r="D19" t="s">
        <v>30</v>
      </c>
      <c r="E19" s="39">
        <v>0.15</v>
      </c>
    </row>
    <row r="20" spans="2:5">
      <c r="B20" s="49" t="str">
        <f t="shared" si="0"/>
        <v>AGRESSIVO-HOTELARIAS</v>
      </c>
      <c r="C20" s="49" t="s">
        <v>21</v>
      </c>
      <c r="D20" s="49" t="s">
        <v>31</v>
      </c>
      <c r="E20" s="51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2026-02-02T18:23:25Z</dcterms:created>
  <dcterms:modified xsi:type="dcterms:W3CDTF">2026-02-02T23:17:11Z</dcterms:modified>
  <cp:category/>
  <cp:contentStatus/>
</cp:coreProperties>
</file>